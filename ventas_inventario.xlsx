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original" sheetId="1" r:id="rId5"/>
    <sheet state="visible" name="limpieza_datos" sheetId="2" r:id="rId6"/>
    <sheet state="visible" name="analisis_tablas_dinamicas" sheetId="3" r:id="rId7"/>
    <sheet state="visible" name="dashboard_graficos" sheetId="4" r:id="rId8"/>
  </sheets>
  <definedNames>
    <definedName hidden="1" localSheetId="1" name="Z_20342385_945A_4334_984B_A0D1B6A0D169_.wvu.FilterData">limpieza_datos!$A$1:$V$11</definedName>
  </definedNames>
  <calcPr/>
  <customWorkbookViews>
    <customWorkbookView activeSheetId="0" maximized="1" windowHeight="0" windowWidth="0" guid="{20342385-945A-4334-984B-A0D1B6A0D169}" name="Filtro 1"/>
  </customWorkbookViews>
  <pivotCaches>
    <pivotCache cacheId="0" r:id="rId9"/>
  </pivotCaches>
</workbook>
</file>

<file path=xl/sharedStrings.xml><?xml version="1.0" encoding="utf-8"?>
<sst xmlns="http://schemas.openxmlformats.org/spreadsheetml/2006/main" count="85" uniqueCount="51">
  <si>
    <t>| ID_Venta | Fecha | Producto | Categoria | Proveedor | Región | Cantidad | Precio_Unit | Stock | Estado |</t>
  </si>
  <si>
    <t>| --- | --- | --- | --- | --- | --- | --- | --- | --- | --- |</t>
  </si>
  <si>
    <t>| V001 | 05/01/2024 | Mouse USB | Perifericos | Proveedor ABC | norte | 10 | 15,5 | 50 | entregado |</t>
  </si>
  <si>
    <t>| V002 | 06-01-24 | Teclado | Perifericos | proveedor abc | Centro |  | 20 | 30 | Pendiente |</t>
  </si>
  <si>
    <t>| V003 | 2024/01/07 | Monitor 24" | Monitores | Proveedor XYZ | Sur | 2 | 0 | 20 | ENTREGADO |</t>
  </si>
  <si>
    <t>| V004 | 08/01/2024 | Laptop | Computo | Proveedor 123 | Norte | 1 | 850 | -5 | Cancelado |</t>
  </si>
  <si>
    <t>| V005 | 09/01/2024 | Mouse USB | Periféricos | Prov. ABC | Centro | 100 | 15,5 | 100 | entregado |</t>
  </si>
  <si>
    <t>| V006 |  | Mouse USB | Perifericos | Proveedor ABC | Norte | 1000 | 15,5 | 100 | Entregado |</t>
  </si>
  <si>
    <t>| V007 | 10/01/2024 | Tablet | Computo |  | Centro | 2 | 250 | 10 | Entregado |</t>
  </si>
  <si>
    <t>ID_Venta</t>
  </si>
  <si>
    <t>Fecha</t>
  </si>
  <si>
    <t>Fecha_Analisis</t>
  </si>
  <si>
    <t>Producto</t>
  </si>
  <si>
    <t>Categoria</t>
  </si>
  <si>
    <t>Proveedor</t>
  </si>
  <si>
    <t>Proveedor_Normalizado</t>
  </si>
  <si>
    <t>Región</t>
  </si>
  <si>
    <t>Cantidad</t>
  </si>
  <si>
    <t>Precio_Unit</t>
  </si>
  <si>
    <t>Stock</t>
  </si>
  <si>
    <t>Estado</t>
  </si>
  <si>
    <t>Ventas</t>
  </si>
  <si>
    <t>V001</t>
  </si>
  <si>
    <t>Mouse USB</t>
  </si>
  <si>
    <t>Perifericos</t>
  </si>
  <si>
    <t>Proveedor ABC</t>
  </si>
  <si>
    <t>Norte</t>
  </si>
  <si>
    <t>Entregado</t>
  </si>
  <si>
    <t>V002</t>
  </si>
  <si>
    <t>Teclado</t>
  </si>
  <si>
    <t>Centro</t>
  </si>
  <si>
    <t>Pendiente</t>
  </si>
  <si>
    <t>V003</t>
  </si>
  <si>
    <t>Monitor 24"</t>
  </si>
  <si>
    <t>Monitores</t>
  </si>
  <si>
    <t>Proveedor XYZ</t>
  </si>
  <si>
    <t>Sur</t>
  </si>
  <si>
    <t>V004</t>
  </si>
  <si>
    <t>Laptop</t>
  </si>
  <si>
    <t>Computo</t>
  </si>
  <si>
    <t>Proveedor 123</t>
  </si>
  <si>
    <t>Cancelado</t>
  </si>
  <si>
    <t>V005</t>
  </si>
  <si>
    <t>V006</t>
  </si>
  <si>
    <t>V007</t>
  </si>
  <si>
    <t>Tablet</t>
  </si>
  <si>
    <t>SUM de Ventas</t>
  </si>
  <si>
    <t>Suma total</t>
  </si>
  <si>
    <t>Anonimo</t>
  </si>
  <si>
    <t>Sin Fecha</t>
  </si>
  <si>
    <t>NOTA: 1 Registro sin fecha fue excluido del analisis temporal para mantener coherencia cronologica.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</si>
</sst>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dd/mm/yyyy"/>
    <numFmt numFmtId="166" formatCode="#,##0.0"/>
    <numFmt numFmtId="167" formatCode="[$$]#,##0"/>
    <numFmt numFmtId="168" formatCode="d/m/yyyy"/>
  </numFmts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</font>
    <font>
      <sz val="12.0"/>
      <color rgb="FF434343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horizontal="left" readingOrder="0" vertical="center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167" xfId="0" applyFont="1" applyNumberFormat="1"/>
    <xf borderId="0" fillId="0" fontId="2" numFmtId="3" xfId="0" applyFont="1" applyNumberFormat="1"/>
    <xf borderId="0" fillId="0" fontId="2" numFmtId="164" xfId="0" applyFont="1" applyNumberFormat="1"/>
    <xf borderId="0" fillId="0" fontId="3" numFmtId="0" xfId="0" applyFont="1"/>
    <xf borderId="0" fillId="0" fontId="3" numFmtId="168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Ingreso por Producto - Enero 2024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analisis_tablas_dinamicas!$A$1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(analisis_tablas_dinamicas!$A$2:$A$4,analisis_tablas_dinamicas!$B$1:$B$4)</c:f>
            </c:strRef>
          </c:cat>
          <c:val>
            <c:numRef>
              <c:f>(analisis_tablas_dinamicas!$A$2:$A$4,analisis_tablas_dinamicas!$B$1:$B$4)</c:f>
              <c:numCache/>
            </c:numRef>
          </c:val>
        </c:ser>
        <c:axId val="1965966541"/>
        <c:axId val="461321959"/>
      </c:bar3DChart>
      <c:catAx>
        <c:axId val="1965966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321959"/>
      </c:catAx>
      <c:valAx>
        <c:axId val="461321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966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Ingresos por Proveedor - Pedidos entregados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analisis_tablas_dinamicas!$B$11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43434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analisis_tablas_dinamicas!$A$12:$A$14</c:f>
            </c:strRef>
          </c:cat>
          <c:val>
            <c:numRef>
              <c:f>analisis_tablas_dinamicas!$B$12:$B$14</c:f>
              <c:numCache/>
            </c:numRef>
          </c:val>
        </c:ser>
        <c:axId val="774852370"/>
        <c:axId val="836836903"/>
      </c:barChart>
      <c:catAx>
        <c:axId val="7748523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836903"/>
      </c:catAx>
      <c:valAx>
        <c:axId val="836836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8523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Evolución de Ventas - Enero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chemeClr val="accent3"/>
              </a:solidFill>
              <a:prstDash val="sysDot"/>
            </a:ln>
          </c:spPr>
          <c:marker>
            <c:symbol val="circle"/>
            <c:size val="10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Pt>
            <c:idx val="6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666666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analisis_tablas_dinamicas!$A$29:$A$36</c:f>
            </c:strRef>
          </c:cat>
          <c:val>
            <c:numRef>
              <c:f>analisis_tablas_dinamicas!$B$29:$B$36</c:f>
              <c:numCache/>
            </c:numRef>
          </c:val>
          <c:smooth val="1"/>
        </c:ser>
        <c:axId val="547572251"/>
        <c:axId val="1332142331"/>
      </c:lineChart>
      <c:catAx>
        <c:axId val="547572251"/>
        <c:scaling>
          <c:orientation val="minMax"/>
        </c:scaling>
        <c:delete val="1"/>
        <c:axPos val="b"/>
        <c:numFmt formatCode="General" sourceLinked="1"/>
        <c:majorTickMark val="cross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142331"/>
      </c:catAx>
      <c:valAx>
        <c:axId val="133214233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5722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Distribución de Ventas por Región (%)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analisis_tablas_dinamicas!$B$19</c:f>
            </c:strRef>
          </c:tx>
          <c:dPt>
            <c:idx val="0"/>
            <c:spPr>
              <a:solidFill>
                <a:srgbClr val="5891AD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 w="9525">
                <a:solidFill>
                  <a:srgbClr val="666666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 w="9525">
                <a:solidFill>
                  <a:srgbClr val="666666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analisis_tablas_dinamicas!$A$20:$A$22</c:f>
            </c:strRef>
          </c:cat>
          <c:val>
            <c:numRef>
              <c:f>analisis_tablas_dinamicas!$B$20:$B$22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457200</xdr:colOff>
      <xdr:row>1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714375</xdr:colOff>
      <xdr:row>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923925</xdr:colOff>
      <xdr:row>1</xdr:row>
      <xdr:rowOff>9525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8" sheet="limpieza_datos"/>
  </cacheSource>
  <cacheFields>
    <cacheField name="ID_Venta" numFmtId="0">
      <sharedItems>
        <s v="V001"/>
        <s v="V002"/>
        <s v="V003"/>
        <s v="V004"/>
        <s v="V005"/>
        <s v="V006"/>
        <s v="V007"/>
      </sharedItems>
    </cacheField>
    <cacheField name="Fecha" numFmtId="164">
      <sharedItems containsDate="1" containsString="0" containsBlank="1">
        <d v="2024-01-05T00:00:00Z"/>
        <d v="2024-01-06T00:00:00Z"/>
        <d v="2024-01-07T00:00:00Z"/>
        <d v="2024-01-08T00:00:00Z"/>
        <d v="2024-01-09T00:00:00Z"/>
        <m/>
        <d v="2024-01-10T00:00:00Z"/>
      </sharedItems>
    </cacheField>
    <cacheField name="Fecha_Analisis">
      <sharedItems containsDate="1" containsMixedTypes="1">
        <d v="2024-01-05T00:00:00Z"/>
        <d v="2024-01-06T00:00:00Z"/>
        <d v="2024-01-07T00:00:00Z"/>
        <d v="2024-01-08T00:00:00Z"/>
        <d v="2024-01-09T00:00:00Z"/>
        <s v="Sin Fecha"/>
        <d v="2024-01-10T00:00:00Z"/>
      </sharedItems>
    </cacheField>
    <cacheField name="Producto" numFmtId="0">
      <sharedItems>
        <s v="Mouse USB"/>
        <s v="Teclado"/>
        <s v="Monitor 24&quot;"/>
        <s v="Laptop"/>
        <s v="Tablet"/>
      </sharedItems>
    </cacheField>
    <cacheField name="Categoria" numFmtId="0">
      <sharedItems>
        <s v="Perifericos"/>
        <s v="Monitores"/>
        <s v="Computo"/>
      </sharedItems>
    </cacheField>
    <cacheField name="Proveedor" numFmtId="0">
      <sharedItems containsBlank="1">
        <s v="Proveedor ABC"/>
        <s v="Proveedor XYZ"/>
        <s v="Proveedor 123"/>
        <m/>
      </sharedItems>
    </cacheField>
    <cacheField name="Proveedor_Normalizado" numFmtId="0">
      <sharedItems>
        <s v="Proveedor ABC"/>
        <s v="Proveedor XYZ"/>
        <s v="Proveedor 123"/>
        <s v="Anonimo"/>
      </sharedItems>
    </cacheField>
    <cacheField name="Región" numFmtId="3">
      <sharedItems>
        <s v="Norte"/>
        <s v="Centro"/>
        <s v="Sur"/>
      </sharedItems>
    </cacheField>
    <cacheField name="Cantidad" numFmtId="0">
      <sharedItems containsString="0" containsBlank="1" containsNumber="1" containsInteger="1">
        <n v="10.0"/>
        <m/>
        <n v="2.0"/>
        <n v="1.0"/>
        <n v="100.0"/>
        <n v="1000.0"/>
      </sharedItems>
    </cacheField>
    <cacheField name="Precio_Unit" numFmtId="166">
      <sharedItems containsSemiMixedTypes="0" containsString="0" containsNumber="1">
        <n v="15.5"/>
        <n v="20.0"/>
        <n v="0.0"/>
        <n v="850.0"/>
        <n v="250.0"/>
      </sharedItems>
    </cacheField>
    <cacheField name="Stock" numFmtId="0">
      <sharedItems containsSemiMixedTypes="0" containsString="0" containsNumber="1" containsInteger="1">
        <n v="50.0"/>
        <n v="30.0"/>
        <n v="20.0"/>
        <n v="5.0"/>
        <n v="100.0"/>
        <n v="10.0"/>
      </sharedItems>
    </cacheField>
    <cacheField name="Estado" numFmtId="0">
      <sharedItems>
        <s v="Entregado"/>
        <s v="Pendiente"/>
        <s v="Cancelado"/>
      </sharedItems>
    </cacheField>
    <cacheField name="Ventas" numFmtId="167">
      <sharedItems containsSemiMixedTypes="0" containsString="0" containsNumber="1" containsInteger="1">
        <n v="155.0"/>
        <n v="0.0"/>
        <n v="850.0"/>
        <n v="1550.0"/>
        <n v="15500.0"/>
        <n v="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isis_tablas_dinamicas" cacheId="0" dataCaption="" compact="0" compactData="0">
  <location ref="A3:B7" firstHeaderRow="0" firstDataRow="1" firstDataCol="0" rowPageCount="1" colPageCount="1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Analisi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axis="axisRow" compact="0" outline="0" multipleItemSelectionAllowed="1" showAll="0" sortType="ascending">
      <items>
        <item x="3"/>
        <item x="2"/>
        <item x="0"/>
        <item x="4"/>
        <item x="1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t="default"/>
      </items>
    </pivotField>
    <pivotField name="Proveedor_Normalizado" compact="0" outline="0" multipleItemSelectionAllowed="1" showAll="0">
      <items>
        <item x="0"/>
        <item x="1"/>
        <item x="2"/>
        <item x="3"/>
        <item t="default"/>
      </items>
    </pivotField>
    <pivotField name="Región" compact="0" numFmtId="3" outline="0" multipleItemSelectionAllowed="1" showAll="0">
      <items>
        <item x="0"/>
        <item x="1"/>
        <item x="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toc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stado" axis="axisPage" compact="0" outline="0" multipleItemSelectionAllowed="1" showAll="0">
      <items>
        <item x="0"/>
        <item h="1" x="1"/>
        <item h="1" x="2"/>
        <item t="default"/>
      </items>
    </pivotField>
    <pivotField name="Ventas" dataField="1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pageFields>
    <pageField fld="11"/>
  </pageFields>
  <dataFields>
    <dataField name="SUM of Ventas" fld="12" baseField="0"/>
  </dataFields>
</pivotTableDefinition>
</file>

<file path=xl/pivotTables/pivotTable2.xml><?xml version="1.0" encoding="utf-8"?>
<pivotTableDefinition xmlns="http://schemas.openxmlformats.org/spreadsheetml/2006/main" name="analisis_tablas_dinamicas 2" cacheId="0" dataCaption="" rowGrandTotals="0" compact="0" compactData="0">
  <location ref="A11:B14" firstHeaderRow="0" firstDataRow="1" firstDataCol="0" rowPageCount="1" colPageCount="1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Analisi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t="default"/>
      </items>
    </pivotField>
    <pivotField name="Proveedor_Normalizado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Región" compact="0" numFmtId="3" outline="0" multipleItemSelectionAllowed="1" showAll="0">
      <items>
        <item x="0"/>
        <item x="1"/>
        <item x="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toc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stado" axis="axisPage" compact="0" outline="0" multipleItemSelectionAllowed="1" showAll="0">
      <items>
        <item x="0"/>
        <item h="1" x="1"/>
        <item h="1" x="2"/>
        <item t="default"/>
      </items>
    </pivotField>
    <pivotField name="Ventas" dataField="1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pageFields>
    <pageField fld="11"/>
  </pageFields>
  <dataFields>
    <dataField name="SUM of Ventas" fld="12" baseField="0"/>
  </dataFields>
</pivotTableDefinition>
</file>

<file path=xl/pivotTables/pivotTable3.xml><?xml version="1.0" encoding="utf-8"?>
<pivotTableDefinition xmlns="http://schemas.openxmlformats.org/spreadsheetml/2006/main" name="analisis_tablas_dinamicas 3" cacheId="0" dataCaption="" compact="0" compactData="0">
  <location ref="A19:B23" firstHeaderRow="0" firstDataRow="1" firstDataCol="0" rowPageCount="1" colPageCount="1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Analisi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t="default"/>
      </items>
    </pivotField>
    <pivotField name="Proveedor_Normalizado" compact="0" outline="0" multipleItemSelectionAllowed="1" showAll="0">
      <items>
        <item x="0"/>
        <item x="1"/>
        <item x="2"/>
        <item x="3"/>
        <item t="default"/>
      </items>
    </pivotField>
    <pivotField name="Región" axis="axisRow" compact="0" numFmtId="3" outline="0" multipleItemSelectionAllowed="1" showAll="0" sortType="ascending">
      <items>
        <item x="1"/>
        <item x="0"/>
        <item x="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toc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stado" axis="axisPage" compact="0" outline="0" multipleItemSelectionAllowed="1" showAll="0">
      <items>
        <item x="0"/>
        <item h="1" x="1"/>
        <item h="1" x="2"/>
        <item t="default"/>
      </items>
    </pivotField>
    <pivotField name="Ventas" dataField="1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pageFields>
    <pageField fld="11"/>
  </pageFields>
  <dataFields>
    <dataField name="SUM of Ventas" fld="12" baseField="0"/>
  </dataFields>
</pivotTableDefinition>
</file>

<file path=xl/pivotTables/pivotTable4.xml><?xml version="1.0" encoding="utf-8"?>
<pivotTableDefinition xmlns="http://schemas.openxmlformats.org/spreadsheetml/2006/main" name="analisis_tablas_dinamicas 4" cacheId="0" dataCaption="" compact="0" compactData="0">
  <location ref="A29:B37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Analisis" axis="axisRow" compact="0" outline="0" multipleItemSelectionAllowed="1" showAll="0" sortType="ascending">
      <items>
        <item x="0"/>
        <item x="1"/>
        <item x="2"/>
        <item x="3"/>
        <item x="4"/>
        <item x="6"/>
        <item x="5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t="default"/>
      </items>
    </pivotField>
    <pivotField name="Proveedor_Normalizado" compact="0" outline="0" multipleItemSelectionAllowed="1" showAll="0">
      <items>
        <item x="0"/>
        <item x="1"/>
        <item x="2"/>
        <item x="3"/>
        <item t="default"/>
      </items>
    </pivotField>
    <pivotField name="Región" compact="0" numFmtId="3" outline="0" multipleItemSelectionAllowed="1" showAll="0">
      <items>
        <item x="0"/>
        <item x="1"/>
        <item x="2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cio_Unit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toc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Ventas" dataField="1" compact="0" numFmtId="167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SUM of Ventas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2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5" t="s">
        <v>1</v>
      </c>
      <c r="B2" s="6"/>
      <c r="C2" s="7"/>
      <c r="D2" s="7"/>
      <c r="E2" s="7"/>
      <c r="F2" s="8"/>
      <c r="G2" s="7"/>
      <c r="H2" s="7"/>
      <c r="I2" s="7"/>
      <c r="J2" s="7"/>
      <c r="K2" s="3"/>
      <c r="L2" s="9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6"/>
      <c r="C3" s="7"/>
      <c r="D3" s="7"/>
      <c r="E3" s="7"/>
      <c r="F3" s="8"/>
      <c r="G3" s="7"/>
      <c r="H3" s="7"/>
      <c r="I3" s="7"/>
      <c r="J3" s="7"/>
      <c r="K3" s="3"/>
      <c r="L3" s="3"/>
      <c r="M3" s="3"/>
      <c r="N3" s="3"/>
      <c r="O3" s="4"/>
      <c r="P3" s="4"/>
      <c r="Q3" s="4"/>
      <c r="R3" s="4"/>
      <c r="S3" s="4"/>
      <c r="T3" s="4"/>
      <c r="U3" s="3"/>
      <c r="V3" s="3"/>
      <c r="W3" s="4"/>
      <c r="X3" s="4"/>
      <c r="Y3" s="4"/>
      <c r="Z3" s="4"/>
    </row>
    <row r="4">
      <c r="A4" s="5" t="s">
        <v>3</v>
      </c>
      <c r="B4" s="6"/>
      <c r="C4" s="7"/>
      <c r="D4" s="7"/>
      <c r="E4" s="7"/>
      <c r="F4" s="8"/>
      <c r="G4" s="7"/>
      <c r="H4" s="7"/>
      <c r="I4" s="7"/>
      <c r="J4" s="7"/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</v>
      </c>
      <c r="B5" s="6"/>
      <c r="C5" s="7"/>
      <c r="D5" s="7"/>
      <c r="E5" s="7"/>
      <c r="F5" s="8"/>
      <c r="G5" s="7"/>
      <c r="H5" s="7"/>
      <c r="I5" s="7"/>
      <c r="J5" s="7"/>
      <c r="K5" s="3"/>
      <c r="L5" s="3"/>
      <c r="M5" s="3"/>
      <c r="N5" s="3"/>
      <c r="O5" s="4"/>
      <c r="P5" s="4"/>
      <c r="Q5" s="4"/>
      <c r="R5" s="4"/>
      <c r="S5" s="4"/>
      <c r="T5" s="4"/>
      <c r="U5" s="3"/>
      <c r="V5" s="3"/>
      <c r="W5" s="4"/>
      <c r="X5" s="4"/>
      <c r="Y5" s="4"/>
      <c r="Z5" s="4"/>
    </row>
    <row r="6">
      <c r="A6" s="5" t="s">
        <v>5</v>
      </c>
      <c r="B6" s="6"/>
      <c r="C6" s="7"/>
      <c r="D6" s="7"/>
      <c r="E6" s="7"/>
      <c r="F6" s="8"/>
      <c r="G6" s="7"/>
      <c r="H6" s="7"/>
      <c r="I6" s="7"/>
      <c r="J6" s="7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</v>
      </c>
      <c r="B7" s="7"/>
      <c r="C7" s="7"/>
      <c r="D7" s="7"/>
      <c r="E7" s="7"/>
      <c r="F7" s="7"/>
      <c r="G7" s="7"/>
      <c r="H7" s="7"/>
      <c r="I7" s="7"/>
      <c r="J7" s="7"/>
      <c r="K7" s="3"/>
      <c r="L7" s="3"/>
      <c r="M7" s="3"/>
      <c r="N7" s="3"/>
      <c r="O7" s="4"/>
      <c r="P7" s="4"/>
      <c r="Q7" s="4"/>
      <c r="R7" s="4"/>
      <c r="S7" s="4"/>
      <c r="T7" s="4"/>
      <c r="U7" s="3"/>
      <c r="V7" s="4"/>
      <c r="W7" s="4"/>
      <c r="X7" s="4"/>
      <c r="Y7" s="4"/>
      <c r="Z7" s="4"/>
    </row>
    <row r="8">
      <c r="A8" s="5" t="s">
        <v>7</v>
      </c>
      <c r="B8" s="10"/>
      <c r="C8" s="7"/>
      <c r="D8" s="7"/>
      <c r="E8" s="7"/>
      <c r="F8" s="7"/>
      <c r="G8" s="7"/>
      <c r="H8" s="7"/>
      <c r="I8" s="7"/>
      <c r="J8" s="7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3"/>
      <c r="W8" s="4"/>
      <c r="X8" s="4"/>
      <c r="Y8" s="4"/>
      <c r="Z8" s="4"/>
    </row>
    <row r="9">
      <c r="A9" s="5" t="s">
        <v>8</v>
      </c>
      <c r="B9" s="7"/>
      <c r="C9" s="7"/>
      <c r="D9" s="7"/>
      <c r="E9" s="7"/>
      <c r="F9" s="7"/>
      <c r="G9" s="7"/>
      <c r="H9" s="7"/>
      <c r="I9" s="7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3"/>
      <c r="V9" s="4"/>
      <c r="W9" s="4"/>
      <c r="X9" s="4"/>
      <c r="Y9" s="4"/>
      <c r="Z9" s="4"/>
    </row>
    <row r="10">
      <c r="A10" s="7"/>
      <c r="B10" s="11"/>
      <c r="C10" s="11"/>
      <c r="D10" s="3"/>
      <c r="E10" s="3"/>
      <c r="F10" s="3"/>
      <c r="G10" s="3"/>
      <c r="H10" s="3"/>
      <c r="I10" s="9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7"/>
      <c r="W10" s="4"/>
      <c r="X10" s="4"/>
      <c r="Y10" s="4"/>
      <c r="Z10" s="4"/>
    </row>
    <row r="11">
      <c r="A11" s="11"/>
      <c r="B11" s="3"/>
      <c r="C11" s="11"/>
      <c r="D11" s="3"/>
      <c r="E11" s="3"/>
      <c r="F11" s="3"/>
      <c r="G11" s="3"/>
      <c r="H11" s="5"/>
      <c r="I11" s="9"/>
      <c r="J11" s="3"/>
      <c r="K11" s="3"/>
      <c r="L11" s="5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3"/>
      <c r="H12" s="4"/>
      <c r="I12" s="9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3"/>
      <c r="H13" s="4"/>
      <c r="I13" s="9"/>
      <c r="J13" s="4"/>
      <c r="K13" s="4"/>
      <c r="L13" s="4"/>
      <c r="M13" s="4"/>
      <c r="N13" s="4"/>
      <c r="O13" s="4"/>
      <c r="P13" s="3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3"/>
      <c r="H14" s="4"/>
      <c r="I14" s="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3"/>
      <c r="H15" s="4"/>
      <c r="I15" s="1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3"/>
      <c r="H16" s="4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3"/>
      <c r="H17" s="4"/>
      <c r="I17" s="1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3"/>
      <c r="H18" s="4"/>
      <c r="I18" s="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3"/>
      <c r="H19" s="4"/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3"/>
      <c r="H20" s="4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3"/>
      <c r="I21" s="12"/>
      <c r="J21" s="4"/>
      <c r="K21" s="4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3"/>
      <c r="I22" s="9"/>
      <c r="J22" s="4"/>
      <c r="K22" s="4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1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12"/>
      <c r="J25" s="4">
        <f>COUNTIF(C:C,"Tecnología")</f>
        <v>0</v>
      </c>
      <c r="K25" s="4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12"/>
      <c r="J27" s="4">
        <f>COUNTIF(D:D,"Prov B")</f>
        <v>0</v>
      </c>
      <c r="K27" s="4">
        <f>COUNTIF(D:D,"Prov C")</f>
        <v>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9"/>
      <c r="J28" s="4"/>
      <c r="K28" s="4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12"/>
      <c r="J29" s="4"/>
      <c r="K29" s="4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12"/>
      <c r="J31" s="4"/>
      <c r="K31" s="4"/>
      <c r="L31" s="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9"/>
      <c r="J32" s="4"/>
      <c r="K32" s="4"/>
      <c r="L32" s="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12"/>
      <c r="J33" s="4"/>
      <c r="K33" s="4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9"/>
      <c r="J34" s="4"/>
      <c r="K34" s="4"/>
      <c r="L34" s="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12"/>
      <c r="J35" s="4"/>
      <c r="K35" s="4"/>
      <c r="L35" s="1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9"/>
      <c r="J36" s="4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12"/>
      <c r="J37" s="4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9"/>
      <c r="J38" s="4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12"/>
      <c r="J39" s="4"/>
      <c r="K39" s="4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9"/>
      <c r="J40" s="4"/>
      <c r="K40" s="4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12"/>
      <c r="J41" s="4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9"/>
      <c r="J42" s="4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  <col customWidth="1" min="6" max="6" width="13.13"/>
    <col customWidth="1" min="7" max="7" width="21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4" t="s">
        <v>21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>
      <c r="A2" s="13" t="s">
        <v>22</v>
      </c>
      <c r="B2" s="15">
        <v>45296.0</v>
      </c>
      <c r="C2" s="15">
        <f t="shared" ref="C2:C8" si="1">IF(ISBLANK(B2),"Sin Fecha",B2)</f>
        <v>45296</v>
      </c>
      <c r="D2" s="13" t="s">
        <v>23</v>
      </c>
      <c r="E2" s="13" t="s">
        <v>24</v>
      </c>
      <c r="F2" s="13" t="s">
        <v>25</v>
      </c>
      <c r="G2" s="13" t="str">
        <f t="shared" ref="G2:G8" si="2">IF(ISBLANK(F2),"Anonimo",F2)</f>
        <v>Proveedor ABC</v>
      </c>
      <c r="H2" s="16" t="s">
        <v>26</v>
      </c>
      <c r="I2" s="13">
        <v>10.0</v>
      </c>
      <c r="J2" s="17">
        <v>15.5</v>
      </c>
      <c r="K2" s="13">
        <v>50.0</v>
      </c>
      <c r="L2" s="18" t="s">
        <v>27</v>
      </c>
      <c r="M2" s="19">
        <f t="shared" ref="M2:M8" si="3">IF(OR(I2=0,J2=0),0,I2*J2)</f>
        <v>155</v>
      </c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3" t="s">
        <v>28</v>
      </c>
      <c r="B3" s="15">
        <v>45297.0</v>
      </c>
      <c r="C3" s="15">
        <f t="shared" si="1"/>
        <v>45297</v>
      </c>
      <c r="D3" s="13" t="s">
        <v>29</v>
      </c>
      <c r="E3" s="13" t="s">
        <v>24</v>
      </c>
      <c r="F3" s="13" t="s">
        <v>25</v>
      </c>
      <c r="G3" s="13" t="str">
        <f t="shared" si="2"/>
        <v>Proveedor ABC</v>
      </c>
      <c r="H3" s="16" t="s">
        <v>30</v>
      </c>
      <c r="I3" s="20"/>
      <c r="J3" s="17">
        <v>20.0</v>
      </c>
      <c r="K3" s="13">
        <v>30.0</v>
      </c>
      <c r="L3" s="18" t="s">
        <v>31</v>
      </c>
      <c r="M3" s="19">
        <f t="shared" si="3"/>
        <v>0</v>
      </c>
      <c r="N3" s="3"/>
      <c r="O3" s="3"/>
      <c r="P3" s="3"/>
      <c r="Q3" s="4"/>
      <c r="R3" s="4"/>
      <c r="S3" s="4"/>
      <c r="T3" s="4"/>
      <c r="U3" s="4"/>
      <c r="V3" s="4"/>
      <c r="W3" s="3"/>
      <c r="X3" s="3"/>
      <c r="Y3" s="4"/>
      <c r="Z3" s="4"/>
      <c r="AA3" s="4"/>
      <c r="AB3" s="4"/>
    </row>
    <row r="4">
      <c r="A4" s="13" t="s">
        <v>32</v>
      </c>
      <c r="B4" s="15">
        <v>45298.0</v>
      </c>
      <c r="C4" s="15">
        <f t="shared" si="1"/>
        <v>45298</v>
      </c>
      <c r="D4" s="13" t="s">
        <v>33</v>
      </c>
      <c r="E4" s="13" t="s">
        <v>34</v>
      </c>
      <c r="F4" s="13" t="s">
        <v>35</v>
      </c>
      <c r="G4" s="13" t="str">
        <f t="shared" si="2"/>
        <v>Proveedor XYZ</v>
      </c>
      <c r="H4" s="16" t="s">
        <v>36</v>
      </c>
      <c r="I4" s="13">
        <v>2.0</v>
      </c>
      <c r="J4" s="17">
        <v>0.0</v>
      </c>
      <c r="K4" s="13">
        <v>20.0</v>
      </c>
      <c r="L4" s="18" t="s">
        <v>27</v>
      </c>
      <c r="M4" s="19">
        <f t="shared" si="3"/>
        <v>0</v>
      </c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 t="s">
        <v>37</v>
      </c>
      <c r="B5" s="15">
        <v>45299.0</v>
      </c>
      <c r="C5" s="15">
        <f t="shared" si="1"/>
        <v>45299</v>
      </c>
      <c r="D5" s="13" t="s">
        <v>38</v>
      </c>
      <c r="E5" s="13" t="s">
        <v>39</v>
      </c>
      <c r="F5" s="13" t="s">
        <v>40</v>
      </c>
      <c r="G5" s="13" t="str">
        <f t="shared" si="2"/>
        <v>Proveedor 123</v>
      </c>
      <c r="H5" s="16" t="s">
        <v>26</v>
      </c>
      <c r="I5" s="13">
        <v>1.0</v>
      </c>
      <c r="J5" s="17">
        <v>850.0</v>
      </c>
      <c r="K5" s="13">
        <v>5.0</v>
      </c>
      <c r="L5" s="18" t="s">
        <v>41</v>
      </c>
      <c r="M5" s="19">
        <f t="shared" si="3"/>
        <v>850</v>
      </c>
      <c r="N5" s="3"/>
      <c r="O5" s="3"/>
      <c r="P5" s="3"/>
      <c r="Q5" s="4"/>
      <c r="R5" s="4"/>
      <c r="S5" s="4"/>
      <c r="T5" s="4"/>
      <c r="U5" s="4"/>
      <c r="V5" s="4"/>
      <c r="W5" s="3"/>
      <c r="X5" s="3"/>
      <c r="Y5" s="4"/>
      <c r="Z5" s="4"/>
      <c r="AA5" s="4"/>
      <c r="AB5" s="4"/>
    </row>
    <row r="6">
      <c r="A6" s="13" t="s">
        <v>42</v>
      </c>
      <c r="B6" s="15">
        <v>45300.0</v>
      </c>
      <c r="C6" s="15">
        <f t="shared" si="1"/>
        <v>45300</v>
      </c>
      <c r="D6" s="13" t="s">
        <v>23</v>
      </c>
      <c r="E6" s="13" t="s">
        <v>24</v>
      </c>
      <c r="F6" s="13" t="s">
        <v>25</v>
      </c>
      <c r="G6" s="13" t="str">
        <f t="shared" si="2"/>
        <v>Proveedor ABC</v>
      </c>
      <c r="H6" s="16" t="s">
        <v>30</v>
      </c>
      <c r="I6" s="13">
        <v>100.0</v>
      </c>
      <c r="J6" s="17">
        <v>15.5</v>
      </c>
      <c r="K6" s="13">
        <v>100.0</v>
      </c>
      <c r="L6" s="18" t="s">
        <v>27</v>
      </c>
      <c r="M6" s="19">
        <f t="shared" si="3"/>
        <v>1550</v>
      </c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3" t="s">
        <v>43</v>
      </c>
      <c r="B7" s="20"/>
      <c r="C7" s="15" t="str">
        <f t="shared" si="1"/>
        <v>Sin Fecha</v>
      </c>
      <c r="D7" s="13" t="s">
        <v>23</v>
      </c>
      <c r="E7" s="13" t="s">
        <v>24</v>
      </c>
      <c r="F7" s="13" t="s">
        <v>25</v>
      </c>
      <c r="G7" s="13" t="str">
        <f t="shared" si="2"/>
        <v>Proveedor ABC</v>
      </c>
      <c r="H7" s="13" t="s">
        <v>26</v>
      </c>
      <c r="I7" s="13">
        <v>1000.0</v>
      </c>
      <c r="J7" s="17">
        <v>15.5</v>
      </c>
      <c r="K7" s="13">
        <v>100.0</v>
      </c>
      <c r="L7" s="18" t="s">
        <v>27</v>
      </c>
      <c r="M7" s="19">
        <f t="shared" si="3"/>
        <v>15500</v>
      </c>
      <c r="N7" s="3"/>
      <c r="O7" s="3"/>
      <c r="P7" s="3"/>
      <c r="Q7" s="4"/>
      <c r="R7" s="4"/>
      <c r="S7" s="4"/>
      <c r="T7" s="4"/>
      <c r="U7" s="4"/>
      <c r="V7" s="4"/>
      <c r="W7" s="3"/>
      <c r="X7" s="4"/>
      <c r="Y7" s="4"/>
      <c r="Z7" s="4"/>
      <c r="AA7" s="4"/>
      <c r="AB7" s="4"/>
    </row>
    <row r="8">
      <c r="A8" s="13" t="s">
        <v>44</v>
      </c>
      <c r="B8" s="21">
        <v>45301.0</v>
      </c>
      <c r="C8" s="15">
        <f t="shared" si="1"/>
        <v>45301</v>
      </c>
      <c r="D8" s="13" t="s">
        <v>45</v>
      </c>
      <c r="E8" s="13" t="s">
        <v>39</v>
      </c>
      <c r="F8" s="20"/>
      <c r="G8" s="13" t="str">
        <f t="shared" si="2"/>
        <v>Anonimo</v>
      </c>
      <c r="H8" s="13" t="s">
        <v>30</v>
      </c>
      <c r="I8" s="13">
        <v>2.0</v>
      </c>
      <c r="J8" s="17">
        <v>250.0</v>
      </c>
      <c r="K8" s="13">
        <v>10.0</v>
      </c>
      <c r="L8" s="18" t="s">
        <v>27</v>
      </c>
      <c r="M8" s="19">
        <f t="shared" si="3"/>
        <v>500</v>
      </c>
      <c r="N8" s="3"/>
      <c r="O8" s="3"/>
      <c r="P8" s="3"/>
      <c r="Q8" s="4"/>
      <c r="R8" s="4"/>
      <c r="S8" s="4"/>
      <c r="T8" s="4"/>
      <c r="U8" s="4"/>
      <c r="V8" s="4"/>
      <c r="W8" s="4"/>
      <c r="X8" s="3"/>
      <c r="Y8" s="4"/>
      <c r="Z8" s="4"/>
      <c r="AA8" s="4"/>
      <c r="AB8" s="4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3"/>
      <c r="M9" s="3"/>
      <c r="N9" s="3"/>
      <c r="O9" s="3"/>
      <c r="P9" s="3"/>
      <c r="Q9" s="4"/>
      <c r="R9" s="4"/>
      <c r="S9" s="4"/>
      <c r="T9" s="4"/>
      <c r="U9" s="4"/>
      <c r="V9" s="4"/>
      <c r="W9" s="3"/>
      <c r="X9" s="4"/>
      <c r="Y9" s="4"/>
      <c r="Z9" s="4"/>
      <c r="AA9" s="4"/>
      <c r="AB9" s="4"/>
    </row>
    <row r="10">
      <c r="A10" s="20"/>
      <c r="B10" s="11"/>
      <c r="C10" s="11"/>
      <c r="D10" s="1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4"/>
      <c r="V10" s="4"/>
      <c r="W10" s="4"/>
      <c r="X10" s="20"/>
      <c r="Y10" s="4"/>
      <c r="Z10" s="4"/>
      <c r="AA10" s="4"/>
      <c r="AB10" s="4"/>
    </row>
    <row r="11">
      <c r="A11" s="11"/>
      <c r="B11" s="3"/>
      <c r="C11" s="3"/>
      <c r="D11" s="11"/>
      <c r="E11" s="3"/>
      <c r="F11" s="3"/>
      <c r="G11" s="3"/>
      <c r="H11" s="3"/>
      <c r="I11" s="3"/>
      <c r="J11" s="13"/>
      <c r="K11" s="3"/>
      <c r="L11" s="3"/>
      <c r="M11" s="3"/>
      <c r="N11" s="13"/>
      <c r="O11" s="3"/>
      <c r="P11" s="3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3"/>
      <c r="J12" s="4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3"/>
      <c r="J13" s="4"/>
      <c r="K13" s="3"/>
      <c r="L13" s="4"/>
      <c r="M13" s="4"/>
      <c r="N13" s="4"/>
      <c r="O13" s="4"/>
      <c r="P13" s="4"/>
      <c r="Q13" s="4"/>
      <c r="R13" s="3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3"/>
      <c r="J14" s="4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3"/>
      <c r="J16" s="4"/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3"/>
      <c r="J18" s="4"/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3"/>
      <c r="J19" s="4"/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3"/>
      <c r="J20" s="4"/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3"/>
      <c r="K21" s="4"/>
      <c r="L21" s="4"/>
      <c r="M21" s="4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3"/>
      <c r="K22" s="3"/>
      <c r="L22" s="4"/>
      <c r="M22" s="4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>
        <f>COUNTIF(D:D,"Tecnología")</f>
        <v>0</v>
      </c>
      <c r="M25" s="4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>
        <f>COUNTIF(E:E,"Prov B")</f>
        <v>0</v>
      </c>
      <c r="M27" s="4">
        <f>COUNTIF(E:E,"Prov C")</f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3"/>
      <c r="L28" s="4"/>
      <c r="M28" s="4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3"/>
      <c r="L32" s="4"/>
      <c r="M32" s="4"/>
      <c r="N32" s="2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1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3"/>
      <c r="L34" s="4"/>
      <c r="M34" s="4"/>
      <c r="N34" s="2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3"/>
      <c r="L36" s="4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3"/>
      <c r="L38" s="4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3"/>
      <c r="L40" s="4"/>
      <c r="M40" s="4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3"/>
      <c r="L42" s="4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customSheetViews>
    <customSheetView guid="{20342385-945A-4334-984B-A0D1B6A0D169}" filter="1" showAutoFilter="1">
      <autoFilter ref="$A$1:$V$11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7" t="s">
        <v>50</v>
      </c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7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N21:S21"/>
  </mergeCells>
  <conditionalFormatting sqref="D2">
    <cfRule type="cellIs" dxfId="0" priority="1" operator="greaterThanOrEqual">
      <formula>10</formula>
    </cfRule>
  </conditionalFormatting>
  <drawing r:id="rId1"/>
</worksheet>
</file>